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8_{FE2647CD-2D55-42BF-9F9A-E0FB4DF57423}" xr6:coauthVersionLast="47" xr6:coauthVersionMax="47" xr10:uidLastSave="{00000000-0000-0000-0000-000000000000}"/>
  <bookViews>
    <workbookView xWindow="-108" yWindow="-108" windowWidth="23256" windowHeight="12456" xr2:uid="{D2DA9B68-23D1-4187-8AE6-056FF12B50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" i="1" l="1"/>
  <c r="D19" i="1"/>
  <c r="F19" i="1" s="1"/>
  <c r="I19" i="1" s="1"/>
  <c r="F15" i="1"/>
  <c r="F17" i="1"/>
  <c r="F18" i="1"/>
  <c r="H19" i="1"/>
  <c r="E19" i="1"/>
  <c r="E13" i="1"/>
  <c r="H13" i="1" s="1"/>
  <c r="D13" i="1"/>
  <c r="F13" i="1" s="1"/>
  <c r="E8" i="1"/>
  <c r="H8" i="1" s="1"/>
  <c r="I8" i="1" s="1"/>
  <c r="D8" i="1"/>
  <c r="F8" i="1" s="1"/>
  <c r="F11" i="1"/>
  <c r="F12" i="1"/>
  <c r="F10" i="1"/>
  <c r="I13" i="1" l="1"/>
  <c r="F7" i="1" l="1"/>
  <c r="F6" i="1"/>
</calcChain>
</file>

<file path=xl/sharedStrings.xml><?xml version="1.0" encoding="utf-8"?>
<sst xmlns="http://schemas.openxmlformats.org/spreadsheetml/2006/main" count="24" uniqueCount="22">
  <si>
    <t>personal</t>
  </si>
  <si>
    <t>sueldo</t>
  </si>
  <si>
    <t>$ minuto</t>
  </si>
  <si>
    <t>minutos mes</t>
  </si>
  <si>
    <t>minut no trabaja</t>
  </si>
  <si>
    <t>minut trabaja</t>
  </si>
  <si>
    <t>AUGUSTO</t>
  </si>
  <si>
    <t>CRISTIAN</t>
  </si>
  <si>
    <t>Enfermera</t>
  </si>
  <si>
    <t>Doctores</t>
  </si>
  <si>
    <t>LORENA</t>
  </si>
  <si>
    <t>VANESA</t>
  </si>
  <si>
    <t>DANNA</t>
  </si>
  <si>
    <t>operativo</t>
  </si>
  <si>
    <t>DEYANIRA</t>
  </si>
  <si>
    <t>CUSTODIO</t>
  </si>
  <si>
    <t>VIVANA</t>
  </si>
  <si>
    <t>MARIA DEL PILAR</t>
  </si>
  <si>
    <t xml:space="preserve">$ a Distribuir </t>
  </si>
  <si>
    <t>Totales</t>
  </si>
  <si>
    <t>10080 al mes</t>
  </si>
  <si>
    <t>42 H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</si>
</sst>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3" fontId="0" fillId="0" borderId="2" xfId="0" applyNumberFormat="1" applyBorder="1"/>
    <xf numFmtId="0" fontId="0" fillId="0" borderId="10" xfId="0" applyBorder="1"/>
    <xf numFmtId="3" fontId="0" fillId="0" borderId="0" xfId="0" applyNumberFormat="1" applyBorder="1"/>
    <xf numFmtId="0" fontId="0" fillId="0" borderId="11" xfId="0" applyBorder="1"/>
    <xf numFmtId="3" fontId="0" fillId="0" borderId="5" xfId="0" applyNumberFormat="1" applyBorder="1"/>
    <xf numFmtId="0" fontId="0" fillId="2" borderId="0" xfId="0" applyFill="1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0F94-EA63-44B7-9AF3-634675B3C45E}">
  <dimension ref="B2:I19"/>
  <sheetViews>
    <sheetView tabSelected="1" workbookViewId="0">
      <selection activeCell="L11" sqref="L11"/>
    </sheetView>
  </sheetViews>
  <sheetFormatPr baseColWidth="10" defaultRowHeight="14.4" x14ac:dyDescent="0.3"/>
  <cols>
    <col min="1" max="1" width="13.44140625" bestFit="1" customWidth="1"/>
    <col min="2" max="2" width="9.5546875" bestFit="1" customWidth="1"/>
    <col min="3" max="3" width="15.21875" bestFit="1" customWidth="1"/>
    <col min="4" max="4" width="9" bestFit="1" customWidth="1"/>
    <col min="5" max="5" width="11.6640625" bestFit="1" customWidth="1"/>
    <col min="6" max="6" width="12" bestFit="1" customWidth="1"/>
    <col min="7" max="7" width="11.88671875" bestFit="1" customWidth="1"/>
    <col min="8" max="8" width="14.44140625" bestFit="1" customWidth="1"/>
    <col min="9" max="9" width="12" bestFit="1" customWidth="1"/>
  </cols>
  <sheetData>
    <row r="2" spans="2:9" x14ac:dyDescent="0.3">
      <c r="E2" t="s">
        <v>21</v>
      </c>
    </row>
    <row r="3" spans="2:9" x14ac:dyDescent="0.3">
      <c r="E3" s="1" t="s">
        <v>20</v>
      </c>
    </row>
    <row r="4" spans="2:9" x14ac:dyDescent="0.3">
      <c r="C4" s="17" t="s">
        <v>0</v>
      </c>
      <c r="D4" s="17" t="s">
        <v>1</v>
      </c>
      <c r="E4" s="17" t="s">
        <v>3</v>
      </c>
      <c r="F4" s="17" t="s">
        <v>2</v>
      </c>
      <c r="G4" s="17" t="s">
        <v>5</v>
      </c>
      <c r="H4" s="17" t="s">
        <v>4</v>
      </c>
      <c r="I4" s="17" t="s">
        <v>18</v>
      </c>
    </row>
    <row r="6" spans="2:9" x14ac:dyDescent="0.3">
      <c r="B6" s="18" t="s">
        <v>9</v>
      </c>
      <c r="C6" s="2" t="s">
        <v>6</v>
      </c>
      <c r="D6" s="2">
        <v>10576198</v>
      </c>
      <c r="E6" s="2">
        <v>10080</v>
      </c>
      <c r="F6" s="2">
        <f>D6/E6</f>
        <v>1049.225992063492</v>
      </c>
      <c r="G6" s="2"/>
      <c r="H6" s="3"/>
    </row>
    <row r="7" spans="2:9" x14ac:dyDescent="0.3">
      <c r="B7" s="4"/>
      <c r="C7" s="5" t="s">
        <v>7</v>
      </c>
      <c r="D7" s="5">
        <v>11969691</v>
      </c>
      <c r="E7" s="5">
        <v>10080</v>
      </c>
      <c r="F7" s="5">
        <f>D7/E7</f>
        <v>1187.4693452380952</v>
      </c>
      <c r="G7" s="5"/>
      <c r="H7" s="6"/>
    </row>
    <row r="8" spans="2:9" x14ac:dyDescent="0.3">
      <c r="B8" s="8" t="s">
        <v>19</v>
      </c>
      <c r="C8" s="9"/>
      <c r="D8" s="9">
        <f>(D6+D7)</f>
        <v>22545889</v>
      </c>
      <c r="E8" s="9">
        <f t="shared" ref="E8:F8" si="0">(E6+E7)</f>
        <v>20160</v>
      </c>
      <c r="F8" s="9">
        <f>D8/E8</f>
        <v>1118.3476686507936</v>
      </c>
      <c r="G8" s="9">
        <v>10000</v>
      </c>
      <c r="H8" s="10">
        <f>E8-G8</f>
        <v>10160</v>
      </c>
      <c r="I8" s="16">
        <f>F8*H8</f>
        <v>11362412.313492063</v>
      </c>
    </row>
    <row r="10" spans="2:9" x14ac:dyDescent="0.3">
      <c r="B10" s="18" t="s">
        <v>8</v>
      </c>
      <c r="C10" s="11" t="s">
        <v>10</v>
      </c>
      <c r="D10" s="2">
        <v>2911986</v>
      </c>
      <c r="E10" s="2">
        <v>10080</v>
      </c>
      <c r="F10" s="2">
        <f>D10/E10</f>
        <v>288.88749999999999</v>
      </c>
      <c r="G10" s="2"/>
      <c r="H10" s="3"/>
    </row>
    <row r="11" spans="2:9" x14ac:dyDescent="0.3">
      <c r="B11" s="12"/>
      <c r="C11" s="13" t="s">
        <v>11</v>
      </c>
      <c r="D11" s="7">
        <v>2911986</v>
      </c>
      <c r="E11" s="7">
        <v>10080</v>
      </c>
      <c r="F11" s="7">
        <f t="shared" ref="F11:F12" si="1">D11/E11</f>
        <v>288.88749999999999</v>
      </c>
      <c r="G11" s="7"/>
      <c r="H11" s="14"/>
    </row>
    <row r="12" spans="2:9" x14ac:dyDescent="0.3">
      <c r="B12" s="12"/>
      <c r="C12" s="13" t="s">
        <v>12</v>
      </c>
      <c r="D12" s="7">
        <v>2911986</v>
      </c>
      <c r="E12" s="7">
        <v>10080</v>
      </c>
      <c r="F12" s="7">
        <f t="shared" si="1"/>
        <v>288.88749999999999</v>
      </c>
      <c r="G12" s="7"/>
      <c r="H12" s="14"/>
    </row>
    <row r="13" spans="2:9" x14ac:dyDescent="0.3">
      <c r="B13" s="8" t="s">
        <v>19</v>
      </c>
      <c r="C13" s="9"/>
      <c r="D13" s="9">
        <f>SUM(D10:D12)</f>
        <v>8735958</v>
      </c>
      <c r="E13" s="9">
        <f>SUM(E10:E12)</f>
        <v>30240</v>
      </c>
      <c r="F13" s="9">
        <f>D13/E13</f>
        <v>288.88749999999999</v>
      </c>
      <c r="G13" s="9">
        <v>20</v>
      </c>
      <c r="H13" s="10">
        <f>E13-G13</f>
        <v>30220</v>
      </c>
      <c r="I13" s="16">
        <f>F13*H13</f>
        <v>8730180.25</v>
      </c>
    </row>
    <row r="15" spans="2:9" x14ac:dyDescent="0.3">
      <c r="B15" s="18" t="s">
        <v>13</v>
      </c>
      <c r="C15" s="11" t="s">
        <v>14</v>
      </c>
      <c r="D15" s="2">
        <v>10576198</v>
      </c>
      <c r="E15" s="2">
        <v>10080</v>
      </c>
      <c r="F15" s="2">
        <f t="shared" ref="F15:F17" si="2">D15/E15</f>
        <v>1049.225992063492</v>
      </c>
      <c r="G15" s="2"/>
      <c r="H15" s="3"/>
    </row>
    <row r="16" spans="2:9" x14ac:dyDescent="0.3">
      <c r="B16" s="12"/>
      <c r="C16" s="13" t="s">
        <v>15</v>
      </c>
      <c r="D16" s="7">
        <v>2500000</v>
      </c>
      <c r="E16" s="7">
        <v>10080</v>
      </c>
      <c r="F16" s="7">
        <f>D16/E16</f>
        <v>248.01587301587301</v>
      </c>
      <c r="G16" s="7"/>
      <c r="H16" s="14"/>
    </row>
    <row r="17" spans="2:9" x14ac:dyDescent="0.3">
      <c r="B17" s="12"/>
      <c r="C17" s="13" t="s">
        <v>16</v>
      </c>
      <c r="D17" s="7">
        <v>2911986</v>
      </c>
      <c r="E17" s="7">
        <v>10080</v>
      </c>
      <c r="F17" s="7">
        <f t="shared" si="2"/>
        <v>288.88749999999999</v>
      </c>
      <c r="G17" s="7"/>
      <c r="H17" s="14"/>
    </row>
    <row r="18" spans="2:9" x14ac:dyDescent="0.3">
      <c r="B18" s="4"/>
      <c r="C18" s="15" t="s">
        <v>17</v>
      </c>
      <c r="D18" s="5">
        <v>2911986</v>
      </c>
      <c r="E18" s="5">
        <v>10080</v>
      </c>
      <c r="F18" s="5">
        <f>D18/E18</f>
        <v>288.88749999999999</v>
      </c>
      <c r="G18" s="5"/>
      <c r="H18" s="6"/>
    </row>
    <row r="19" spans="2:9" x14ac:dyDescent="0.3">
      <c r="B19" s="8" t="s">
        <v>19</v>
      </c>
      <c r="C19" s="9"/>
      <c r="D19" s="9">
        <f>SUM(D15:D18)</f>
        <v>18900170</v>
      </c>
      <c r="E19" s="9">
        <f>SUM(E15:E18)</f>
        <v>40320</v>
      </c>
      <c r="F19" s="9">
        <f>D19/E19</f>
        <v>468.75421626984127</v>
      </c>
      <c r="G19" s="9">
        <v>0</v>
      </c>
      <c r="H19" s="10">
        <f>E19-G19</f>
        <v>40320</v>
      </c>
      <c r="I19" s="16">
        <f>F19*H19</f>
        <v>18900170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Perdomo</dc:creator>
  <cp:lastModifiedBy>Andres Perdomo</cp:lastModifiedBy>
  <dcterms:created xsi:type="dcterms:W3CDTF">2026-05-13T17:23:54Z</dcterms:created>
  <dcterms:modified xsi:type="dcterms:W3CDTF">2026-05-13T19:12:14Z</dcterms:modified>
</cp:coreProperties>
</file>